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<sst xmlns="http://schemas.openxmlformats.org/spreadsheetml/2006/main" count="70" uniqueCount="69">
  <si>
    <t>Nome_UF</t>
  </si>
  <si>
    <t>UF</t>
  </si>
  <si>
    <t>LULA</t>
  </si>
  <si>
    <t>FLAVIO</t>
  </si>
  <si>
    <t>COMPARECIMENTO</t>
  </si>
  <si>
    <t>ABSTENÇÃO</t>
  </si>
  <si>
    <t>ELEITORADO APTO</t>
  </si>
  <si>
    <t>percentual presente</t>
  </si>
  <si>
    <t>BOLSONARO</t>
  </si>
  <si>
    <t>VOTOS VÁLIDOS PRESENTES</t>
  </si>
  <si>
    <t>Acre</t>
  </si>
  <si>
    <t>AC</t>
  </si>
  <si>
    <t>Alagoas</t>
  </si>
  <si>
    <t>AL</t>
  </si>
  <si>
    <t>Amapá</t>
  </si>
  <si>
    <t>AP</t>
  </si>
  <si>
    <t>Amazonas</t>
  </si>
  <si>
    <t>AM</t>
  </si>
  <si>
    <t>Bahia</t>
  </si>
  <si>
    <t>BA</t>
  </si>
  <si>
    <t>Ceará</t>
  </si>
  <si>
    <t>CE</t>
  </si>
  <si>
    <t>Distrito Federal</t>
  </si>
  <si>
    <t>DF</t>
  </si>
  <si>
    <t>Espírito Santo</t>
  </si>
  <si>
    <t>ES</t>
  </si>
  <si>
    <t>Exterior</t>
  </si>
  <si>
    <t>ZZ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</si>
  <si>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</si>
  <si>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</si>
  <si>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</si>
  <si>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</si>
  <si>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</si>
  <si>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</si>
  <si>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</si>
  <si>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</si>
  <si>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</si>
  <si>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</si>
  <si>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Paraná</t>
  </si>
  <si>
    <t>PR</t>
  </si>
  <si>
    <t>Paraíba</t>
  </si>
  <si>
    <t>PB</t>
  </si>
  <si>
    <t>Pará</t>
  </si>
  <si>
    <t>PA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</si>
  <si>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</si>
  <si>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</si>
  <si>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</si>
  <si>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</si>
  <si>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</si>
  <si>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</si>
  <si>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</si>
  <si>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</si>
  <si>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</si>
  <si>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</si>
  <si>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Rondônia</t>
  </si>
  <si>
    <t>RO</t>
  </si>
  <si>
    <t>Roraima</t>
  </si>
  <si>
    <t>RR</t>
  </si>
  <si>
    <t>Santa Catarina</t>
  </si>
  <si>
    <t>SC</t>
  </si>
  <si>
    <t>Sergipe</t>
  </si>
  <si>
    <t>SE</t>
  </si>
  <si>
    <t>São Paulo</t>
  </si>
  <si>
    <t>SP</t>
  </si>
  <si>
    <t>resultado final</t>
  </si>
  <si>
    <t>Tocantins</t>
  </si>
  <si>
    <t>TO</t>
  </si>
  <si>
    <t>% LULA</t>
  </si>
  <si>
    <t>% FLAVIO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</si>
</sst>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_-;\-* #,##0.00_-;_-* &quot;-&quot;??_-;_-@"/>
  </numFmts>
  <fonts count="5">
    <font>
      <sz val="11.0"/>
      <color/>
      <name val="Arial"/>
      <scheme val="minor"/>
    </font>
    <font>
      <sz val="11.0"/>
      <color/>
      <name val="Aptos Narrow"/>
    </font>
    <font>
      <b/>
      <sz val="10.0"/>
      <color rgb="FF333333"/>
      <name val="Arial"/>
    </font>
    <font>
      <sz val="10.0"/>
      <color rgb="FF333333"/>
      <name val="Arial"/>
    </font>
    <font>
      <b/>
      <sz val="11.0"/>
      <color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ABABAB"/>
      </left>
      <top style="thin">
        <color rgb="FFABABAB"/>
      </top>
    </border>
    <border>
      <left/>
      <right/>
      <top/>
      <bottom/>
    </border>
    <border>
      <left style="thin">
        <color rgb="FFABABAB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2" fillId="2" fontId="1" numFmtId="165" xfId="0" applyBorder="1" applyFill="1" applyFont="1" applyNumberFormat="1"/>
    <xf borderId="0" fillId="0" fontId="1" numFmtId="10" xfId="0" applyFont="1" applyNumberFormat="1"/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3" fillId="0" fontId="1" numFmtId="0" xfId="0" applyBorder="1" applyFont="1"/>
    <xf borderId="4" fillId="3" fontId="4" numFmtId="0" xfId="0" applyBorder="1" applyFill="1" applyFont="1"/>
    <xf borderId="5" fillId="3" fontId="4" numFmtId="0" xfId="0" applyBorder="1" applyFill="1" applyFont="1"/>
    <xf borderId="0" fillId="0" fontId="1" numFmtId="165" xfId="0" applyFont="1" applyNumberFormat="1"/>
    <xf borderId="6" fillId="3" fontId="4" numFmtId="10" xfId="0" applyBorder="1" applyFill="1" applyFont="1" applyNumberFormat="1"/>
    <xf borderId="7" fillId="3" fontId="4" numFmtId="10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.14"/>
    <col customWidth="1" min="3" max="3" width="3.57"/>
    <col customWidth="1" min="4" max="5" width="6.86"/>
    <col customWidth="1" min="6" max="6" width="17.14"/>
    <col customWidth="1" min="7" max="7" width="10.86"/>
    <col customWidth="1" min="8" max="8" width="17.57"/>
    <col customWidth="1" min="9" max="9" width="18.57"/>
    <col customWidth="1" min="10" max="10" width="11.14"/>
    <col customWidth="1" min="11" max="11" width="11.43"/>
    <col customWidth="1" min="12" max="12" width="24.14"/>
    <col customWidth="1" min="13" max="14" width="8.71"/>
  </cols>
  <sheetData>
    <row r="1" ht="14.25" customHeight="1">
      <c r="A1" s="1" t="s">
        <v>0</v>
      </c>
      <c r="B1" s="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s="3" t="s">
        <v>7</v>
      </c>
      <c r="J1" t="s">
        <v>2</v>
      </c>
      <c r="K1" t="s">
        <v>8</v>
      </c>
      <c r="L1" t="s">
        <v>9</v>
      </c>
    </row>
    <row r="2" ht="14.25" customHeight="1">
      <c r="A2" s="1" t="s">
        <v>10</v>
      </c>
      <c r="B2" s="1">
        <v>12.0</v>
      </c>
      <c r="C2" t="s">
        <v>11</v>
      </c>
      <c r="D2" s="4"/>
      <c r="E2" s="4"/>
      <c r="F2" s="4"/>
      <c r="G2" s="4"/>
      <c r="H2" s="2"/>
      <c r="I2" s="5" t="str">
        <f t="shared" ref="I2:I29" si="1">F2/SUM(F2:G2)</f>
        <v>#DIV/0!</v>
      </c>
      <c r="J2" s="2" t="str">
        <f t="shared" ref="J2:J29" si="2">H2*I2*D2</f>
        <v>#DIV/0!</v>
      </c>
      <c r="K2" s="2" t="str">
        <f t="shared" ref="K2:K29" si="3">H2*I2*E2</f>
        <v>#DIV/0!</v>
      </c>
      <c r="L2" s="2" t="str">
        <f t="shared" ref="L2:L29" si="4">H2*I2</f>
        <v>#DIV/0!</v>
      </c>
    </row>
    <row r="3" ht="14.25" customHeight="1">
      <c r="A3" s="1" t="s">
        <v>12</v>
      </c>
      <c r="B3" s="1">
        <v>27.0</v>
      </c>
      <c r="C3" t="s">
        <v>13</v>
      </c>
      <c r="D3" s="4"/>
      <c r="E3" s="4"/>
      <c r="F3" s="4"/>
      <c r="G3" s="4"/>
      <c r="H3" s="2"/>
      <c r="I3" s="5" t="str">
        <f t="shared" si="1"/>
        <v>#DIV/0!</v>
      </c>
      <c r="J3" s="2" t="str">
        <f t="shared" si="2"/>
        <v>#DIV/0!</v>
      </c>
      <c r="K3" s="2" t="str">
        <f t="shared" si="3"/>
        <v>#DIV/0!</v>
      </c>
      <c r="L3" s="2" t="str">
        <f t="shared" si="4"/>
        <v>#DIV/0!</v>
      </c>
    </row>
    <row r="4" ht="14.25" customHeight="1">
      <c r="A4" s="1" t="s">
        <v>14</v>
      </c>
      <c r="B4" s="1">
        <v>16.0</v>
      </c>
      <c r="C4" t="s">
        <v>15</v>
      </c>
      <c r="D4" s="4"/>
      <c r="E4" s="4"/>
      <c r="F4" s="4"/>
      <c r="G4" s="4"/>
      <c r="H4" s="2"/>
      <c r="I4" s="5" t="str">
        <f t="shared" si="1"/>
        <v>#DIV/0!</v>
      </c>
      <c r="J4" s="2" t="str">
        <f t="shared" si="2"/>
        <v>#DIV/0!</v>
      </c>
      <c r="K4" s="2" t="str">
        <f t="shared" si="3"/>
        <v>#DIV/0!</v>
      </c>
      <c r="L4" s="2" t="str">
        <f t="shared" si="4"/>
        <v>#DIV/0!</v>
      </c>
    </row>
    <row r="5" ht="14.25" customHeight="1">
      <c r="A5" s="1" t="s">
        <v>16</v>
      </c>
      <c r="B5" s="1">
        <v>13.0</v>
      </c>
      <c r="C5" t="s">
        <v>17</v>
      </c>
      <c r="D5" s="4"/>
      <c r="E5" s="4"/>
      <c r="F5" s="4"/>
      <c r="G5" s="4"/>
      <c r="H5" s="2"/>
      <c r="I5" s="5" t="str">
        <f t="shared" si="1"/>
        <v>#DIV/0!</v>
      </c>
      <c r="J5" s="2" t="str">
        <f t="shared" si="2"/>
        <v>#DIV/0!</v>
      </c>
      <c r="K5" s="2" t="str">
        <f t="shared" si="3"/>
        <v>#DIV/0!</v>
      </c>
      <c r="L5" s="2" t="str">
        <f t="shared" si="4"/>
        <v>#DIV/0!</v>
      </c>
    </row>
    <row r="6" ht="14.25" customHeight="1">
      <c r="A6" s="1" t="s">
        <v>18</v>
      </c>
      <c r="B6" s="1">
        <v>29.0</v>
      </c>
      <c r="C6" t="s">
        <v>19</v>
      </c>
      <c r="D6" s="4"/>
      <c r="E6" s="4"/>
      <c r="F6" s="4"/>
      <c r="G6" s="4"/>
      <c r="H6" s="2"/>
      <c r="I6" s="5" t="str">
        <f t="shared" si="1"/>
        <v>#DIV/0!</v>
      </c>
      <c r="J6" s="2" t="str">
        <f t="shared" si="2"/>
        <v>#DIV/0!</v>
      </c>
      <c r="K6" s="2" t="str">
        <f t="shared" si="3"/>
        <v>#DIV/0!</v>
      </c>
      <c r="L6" s="2" t="str">
        <f t="shared" si="4"/>
        <v>#DIV/0!</v>
      </c>
    </row>
    <row r="7" ht="14.25" customHeight="1">
      <c r="A7" s="1" t="s">
        <v>20</v>
      </c>
      <c r="B7" s="1">
        <v>23.0</v>
      </c>
      <c r="C7" t="s">
        <v>21</v>
      </c>
      <c r="D7" s="4"/>
      <c r="E7" s="4"/>
      <c r="F7" s="4"/>
      <c r="G7" s="4"/>
      <c r="H7" s="2"/>
      <c r="I7" s="5" t="str">
        <f t="shared" si="1"/>
        <v>#DIV/0!</v>
      </c>
      <c r="J7" s="2" t="str">
        <f t="shared" si="2"/>
        <v>#DIV/0!</v>
      </c>
      <c r="K7" s="2" t="str">
        <f t="shared" si="3"/>
        <v>#DIV/0!</v>
      </c>
      <c r="L7" s="2" t="str">
        <f t="shared" si="4"/>
        <v>#DIV/0!</v>
      </c>
    </row>
    <row r="8" ht="14.25" customHeight="1">
      <c r="A8" s="1" t="s">
        <v>22</v>
      </c>
      <c r="B8" s="1">
        <v>53.0</v>
      </c>
      <c r="C8" t="s">
        <v>23</v>
      </c>
      <c r="D8" s="4"/>
      <c r="E8" s="4"/>
      <c r="F8" s="4"/>
      <c r="G8" s="4"/>
      <c r="H8" s="2"/>
      <c r="I8" s="5" t="str">
        <f t="shared" si="1"/>
        <v>#DIV/0!</v>
      </c>
      <c r="J8" s="2" t="str">
        <f t="shared" si="2"/>
        <v>#DIV/0!</v>
      </c>
      <c r="K8" s="2" t="str">
        <f t="shared" si="3"/>
        <v>#DIV/0!</v>
      </c>
      <c r="L8" s="2" t="str">
        <f t="shared" si="4"/>
        <v>#DIV/0!</v>
      </c>
      <c r="N8" s="6"/>
    </row>
    <row r="9" ht="14.25" customHeight="1">
      <c r="A9" s="1" t="s">
        <v>24</v>
      </c>
      <c r="B9" s="1">
        <v>32.0</v>
      </c>
      <c r="C9" t="s">
        <v>25</v>
      </c>
      <c r="D9" s="4"/>
      <c r="E9" s="4"/>
      <c r="F9" s="4"/>
      <c r="G9" s="4"/>
      <c r="H9" s="2"/>
      <c r="I9" s="5" t="str">
        <f t="shared" si="1"/>
        <v>#DIV/0!</v>
      </c>
      <c r="J9" s="2" t="str">
        <f t="shared" si="2"/>
        <v>#DIV/0!</v>
      </c>
      <c r="K9" s="2" t="str">
        <f t="shared" si="3"/>
        <v>#DIV/0!</v>
      </c>
      <c r="L9" s="2" t="str">
        <f t="shared" si="4"/>
        <v>#DIV/0!</v>
      </c>
      <c r="N9" s="7"/>
    </row>
    <row r="10" ht="14.25" customHeight="1">
      <c r="A10" s="8" t="s">
        <v>26</v>
      </c>
      <c r="B10" s="8">
        <v>99.0</v>
      </c>
      <c r="C10" t="s">
        <v>27</v>
      </c>
      <c r="D10" s="4"/>
      <c r="E10" s="4"/>
      <c r="F10" s="4"/>
      <c r="G10" s="4"/>
      <c r="H10" s="2"/>
      <c r="I10" s="5" t="str">
        <f t="shared" si="1"/>
        <v>#DIV/0!</v>
      </c>
      <c r="J10" s="2" t="str">
        <f t="shared" si="2"/>
        <v>#DIV/0!</v>
      </c>
      <c r="K10" s="2" t="str">
        <f t="shared" si="3"/>
        <v>#DIV/0!</v>
      </c>
      <c r="L10" s="2" t="str">
        <f t="shared" si="4"/>
        <v>#DIV/0!</v>
      </c>
    </row>
    <row r="11" ht="14.25" customHeight="1">
      <c r="A11" s="1" t="s">
        <v>28</v>
      </c>
      <c r="B11" s="1">
        <v>52.0</v>
      </c>
      <c r="C11" t="s">
        <v>29</v>
      </c>
      <c r="D11" s="4"/>
      <c r="E11" s="4"/>
      <c r="F11" s="4"/>
      <c r="G11" s="4"/>
      <c r="H11" s="2"/>
      <c r="I11" s="5" t="str">
        <f t="shared" si="1"/>
        <v>#DIV/0!</v>
      </c>
      <c r="J11" s="2" t="str">
        <f t="shared" si="2"/>
        <v>#DIV/0!</v>
      </c>
      <c r="K11" s="2" t="str">
        <f t="shared" si="3"/>
        <v>#DIV/0!</v>
      </c>
      <c r="L11" s="2" t="str">
        <f t="shared" si="4"/>
        <v>#DIV/0!</v>
      </c>
    </row>
    <row r="12" ht="14.25" customHeight="1">
      <c r="A12" s="1" t="s">
        <v>30</v>
      </c>
      <c r="B12" s="1">
        <v>21.0</v>
      </c>
      <c r="C12" t="s">
        <v>31</v>
      </c>
      <c r="D12" s="4"/>
      <c r="E12" s="4"/>
      <c r="F12" s="4"/>
      <c r="G12" s="4"/>
      <c r="H12" s="2"/>
      <c r="I12" s="5" t="str">
        <f t="shared" si="1"/>
        <v>#DIV/0!</v>
      </c>
      <c r="J12" s="2" t="str">
        <f t="shared" si="2"/>
        <v>#DIV/0!</v>
      </c>
      <c r="K12" s="2" t="str">
        <f t="shared" si="3"/>
        <v>#DIV/0!</v>
      </c>
      <c r="L12" s="2" t="str">
        <f t="shared" si="4"/>
        <v>#DIV/0!</v>
      </c>
    </row>
    <row r="13" ht="14.25" customHeight="1">
      <c r="A13" s="1" t="s">
        <v>32</v>
      </c>
      <c r="B13" s="1">
        <v>51.0</v>
      </c>
      <c r="C13" t="s">
        <v>33</v>
      </c>
      <c r="D13" s="4"/>
      <c r="E13" s="4"/>
      <c r="F13" s="4"/>
      <c r="G13" s="4"/>
      <c r="H13" s="2"/>
      <c r="I13" s="5" t="str">
        <f t="shared" si="1"/>
        <v>#DIV/0!</v>
      </c>
      <c r="J13" s="2" t="str">
        <f t="shared" si="2"/>
        <v>#DIV/0!</v>
      </c>
      <c r="K13" s="2" t="str">
        <f t="shared" si="3"/>
        <v>#DIV/0!</v>
      </c>
      <c r="L13" s="2" t="str">
        <f t="shared" si="4"/>
        <v>#DIV/0!</v>
      </c>
    </row>
    <row r="14" ht="14.25" customHeight="1">
      <c r="A14" s="1" t="s">
        <v>34</v>
      </c>
      <c r="B14" s="1">
        <v>50.0</v>
      </c>
      <c r="C14" t="s">
        <v>35</v>
      </c>
      <c r="D14" s="4"/>
      <c r="E14" s="4"/>
      <c r="F14" s="4"/>
      <c r="G14" s="4"/>
      <c r="H14" s="2"/>
      <c r="I14" s="5" t="str">
        <f t="shared" si="1"/>
        <v>#DIV/0!</v>
      </c>
      <c r="J14" s="2" t="str">
        <f t="shared" si="2"/>
        <v>#DIV/0!</v>
      </c>
      <c r="K14" s="2" t="str">
        <f t="shared" si="3"/>
        <v>#DIV/0!</v>
      </c>
      <c r="L14" s="2" t="str">
        <f t="shared" si="4"/>
        <v>#DIV/0!</v>
      </c>
    </row>
    <row r="15" ht="14.25" customHeight="1">
      <c r="A15" s="1" t="s">
        <v>36</v>
      </c>
      <c r="B15" s="1">
        <v>31.0</v>
      </c>
      <c r="C15" t="s">
        <v>37</v>
      </c>
      <c r="D15" s="4"/>
      <c r="E15" s="4"/>
      <c r="F15" s="4"/>
      <c r="G15" s="4"/>
      <c r="H15" s="2"/>
      <c r="I15" s="5" t="str">
        <f t="shared" si="1"/>
        <v>#DIV/0!</v>
      </c>
      <c r="J15" s="2" t="str">
        <f t="shared" si="2"/>
        <v>#DIV/0!</v>
      </c>
      <c r="K15" s="2" t="str">
        <f t="shared" si="3"/>
        <v>#DIV/0!</v>
      </c>
      <c r="L15" s="2" t="str">
        <f t="shared" si="4"/>
        <v>#DIV/0!</v>
      </c>
    </row>
    <row r="16" ht="14.25" customHeight="1">
      <c r="A16" s="1" t="s">
        <v>38</v>
      </c>
      <c r="B16" s="1">
        <v>41.0</v>
      </c>
      <c r="C16" t="s">
        <v>39</v>
      </c>
      <c r="D16" s="4"/>
      <c r="E16" s="4"/>
      <c r="F16" s="4"/>
      <c r="G16" s="4"/>
      <c r="H16" s="2"/>
      <c r="I16" s="5" t="str">
        <f t="shared" si="1"/>
        <v>#DIV/0!</v>
      </c>
      <c r="J16" s="2" t="str">
        <f t="shared" si="2"/>
        <v>#DIV/0!</v>
      </c>
      <c r="K16" s="2" t="str">
        <f t="shared" si="3"/>
        <v>#DIV/0!</v>
      </c>
      <c r="L16" s="2" t="str">
        <f t="shared" si="4"/>
        <v>#DIV/0!</v>
      </c>
    </row>
    <row r="17" ht="14.25" customHeight="1">
      <c r="A17" s="1" t="s">
        <v>40</v>
      </c>
      <c r="B17" s="1">
        <v>25.0</v>
      </c>
      <c r="C17" t="s">
        <v>41</v>
      </c>
      <c r="D17" s="4"/>
      <c r="E17" s="4"/>
      <c r="F17" s="4"/>
      <c r="G17" s="4"/>
      <c r="H17" s="2"/>
      <c r="I17" s="5" t="str">
        <f t="shared" si="1"/>
        <v>#DIV/0!</v>
      </c>
      <c r="J17" s="2" t="str">
        <f t="shared" si="2"/>
        <v>#DIV/0!</v>
      </c>
      <c r="K17" s="2" t="str">
        <f t="shared" si="3"/>
        <v>#DIV/0!</v>
      </c>
      <c r="L17" s="2" t="str">
        <f t="shared" si="4"/>
        <v>#DIV/0!</v>
      </c>
    </row>
    <row r="18" ht="14.25" customHeight="1">
      <c r="A18" s="1" t="s">
        <v>42</v>
      </c>
      <c r="B18" s="1">
        <v>15.0</v>
      </c>
      <c r="C18" t="s">
        <v>43</v>
      </c>
      <c r="D18" s="4"/>
      <c r="E18" s="4"/>
      <c r="F18" s="4"/>
      <c r="G18" s="4"/>
      <c r="H18" s="2"/>
      <c r="I18" s="5" t="str">
        <f t="shared" si="1"/>
        <v>#DIV/0!</v>
      </c>
      <c r="J18" s="2" t="str">
        <f t="shared" si="2"/>
        <v>#DIV/0!</v>
      </c>
      <c r="K18" s="2" t="str">
        <f t="shared" si="3"/>
        <v>#DIV/0!</v>
      </c>
      <c r="L18" s="2" t="str">
        <f t="shared" si="4"/>
        <v>#DIV/0!</v>
      </c>
    </row>
    <row r="19" ht="14.25" customHeight="1">
      <c r="A19" s="1" t="s">
        <v>44</v>
      </c>
      <c r="B19" s="1">
        <v>26.0</v>
      </c>
      <c r="C19" t="s">
        <v>45</v>
      </c>
      <c r="D19" s="4"/>
      <c r="E19" s="4"/>
      <c r="F19" s="4"/>
      <c r="G19" s="4"/>
      <c r="H19" s="2"/>
      <c r="I19" s="5" t="str">
        <f t="shared" si="1"/>
        <v>#DIV/0!</v>
      </c>
      <c r="J19" s="2" t="str">
        <f t="shared" si="2"/>
        <v>#DIV/0!</v>
      </c>
      <c r="K19" s="2" t="str">
        <f t="shared" si="3"/>
        <v>#DIV/0!</v>
      </c>
      <c r="L19" s="2" t="str">
        <f t="shared" si="4"/>
        <v>#DIV/0!</v>
      </c>
    </row>
    <row r="20" ht="14.25" customHeight="1">
      <c r="A20" s="1" t="s">
        <v>46</v>
      </c>
      <c r="B20" s="1">
        <v>22.0</v>
      </c>
      <c r="C20" t="s">
        <v>47</v>
      </c>
      <c r="D20" s="4"/>
      <c r="E20" s="4"/>
      <c r="F20" s="4"/>
      <c r="G20" s="4"/>
      <c r="H20" s="2"/>
      <c r="I20" s="5" t="str">
        <f t="shared" si="1"/>
        <v>#DIV/0!</v>
      </c>
      <c r="J20" s="2" t="str">
        <f t="shared" si="2"/>
        <v>#DIV/0!</v>
      </c>
      <c r="K20" s="2" t="str">
        <f t="shared" si="3"/>
        <v>#DIV/0!</v>
      </c>
      <c r="L20" s="2" t="str">
        <f t="shared" si="4"/>
        <v>#DIV/0!</v>
      </c>
    </row>
    <row r="21" ht="14.25" customHeight="1">
      <c r="A21" s="1" t="s">
        <v>48</v>
      </c>
      <c r="B21" s="1">
        <v>33.0</v>
      </c>
      <c r="C21" t="s">
        <v>49</v>
      </c>
      <c r="D21" s="4"/>
      <c r="E21" s="4"/>
      <c r="F21" s="4"/>
      <c r="G21" s="4"/>
      <c r="H21" s="2"/>
      <c r="I21" s="5" t="str">
        <f t="shared" si="1"/>
        <v>#DIV/0!</v>
      </c>
      <c r="J21" s="2" t="str">
        <f t="shared" si="2"/>
        <v>#DIV/0!</v>
      </c>
      <c r="K21" s="2" t="str">
        <f t="shared" si="3"/>
        <v>#DIV/0!</v>
      </c>
      <c r="L21" s="2" t="str">
        <f t="shared" si="4"/>
        <v>#DIV/0!</v>
      </c>
    </row>
    <row r="22" ht="14.25" customHeight="1">
      <c r="A22" s="1" t="s">
        <v>50</v>
      </c>
      <c r="B22" s="1">
        <v>24.0</v>
      </c>
      <c r="C22" t="s">
        <v>51</v>
      </c>
      <c r="D22" s="4"/>
      <c r="E22" s="4"/>
      <c r="F22" s="4"/>
      <c r="G22" s="4"/>
      <c r="H22" s="2"/>
      <c r="I22" s="5" t="str">
        <f t="shared" si="1"/>
        <v>#DIV/0!</v>
      </c>
      <c r="J22" s="2" t="str">
        <f t="shared" si="2"/>
        <v>#DIV/0!</v>
      </c>
      <c r="K22" s="2" t="str">
        <f t="shared" si="3"/>
        <v>#DIV/0!</v>
      </c>
      <c r="L22" s="2" t="str">
        <f t="shared" si="4"/>
        <v>#DIV/0!</v>
      </c>
    </row>
    <row r="23" ht="14.25" customHeight="1">
      <c r="A23" s="1" t="s">
        <v>52</v>
      </c>
      <c r="B23" s="1">
        <v>43.0</v>
      </c>
      <c r="C23" t="s">
        <v>53</v>
      </c>
      <c r="D23" s="4"/>
      <c r="E23" s="4"/>
      <c r="F23" s="4"/>
      <c r="G23" s="4"/>
      <c r="H23" s="2"/>
      <c r="I23" s="5" t="str">
        <f t="shared" si="1"/>
        <v>#DIV/0!</v>
      </c>
      <c r="J23" s="2" t="str">
        <f t="shared" si="2"/>
        <v>#DIV/0!</v>
      </c>
      <c r="K23" s="2" t="str">
        <f t="shared" si="3"/>
        <v>#DIV/0!</v>
      </c>
      <c r="L23" s="2" t="str">
        <f t="shared" si="4"/>
        <v>#DIV/0!</v>
      </c>
    </row>
    <row r="24" ht="14.25" customHeight="1">
      <c r="A24" s="1" t="s">
        <v>54</v>
      </c>
      <c r="B24" s="1">
        <v>11.0</v>
      </c>
      <c r="C24" t="s">
        <v>55</v>
      </c>
      <c r="D24" s="4"/>
      <c r="E24" s="4"/>
      <c r="F24" s="4"/>
      <c r="G24" s="4"/>
      <c r="H24" s="2"/>
      <c r="I24" s="5" t="str">
        <f t="shared" si="1"/>
        <v>#DIV/0!</v>
      </c>
      <c r="J24" s="2" t="str">
        <f t="shared" si="2"/>
        <v>#DIV/0!</v>
      </c>
      <c r="K24" s="2" t="str">
        <f t="shared" si="3"/>
        <v>#DIV/0!</v>
      </c>
      <c r="L24" s="2" t="str">
        <f t="shared" si="4"/>
        <v>#DIV/0!</v>
      </c>
    </row>
    <row r="25" ht="14.25" customHeight="1">
      <c r="A25" s="1" t="s">
        <v>56</v>
      </c>
      <c r="B25" s="1">
        <v>14.0</v>
      </c>
      <c r="C25" t="s">
        <v>57</v>
      </c>
      <c r="D25" s="4"/>
      <c r="E25" s="4"/>
      <c r="F25" s="4"/>
      <c r="G25" s="4"/>
      <c r="H25" s="2"/>
      <c r="I25" s="5" t="str">
        <f t="shared" si="1"/>
        <v>#DIV/0!</v>
      </c>
      <c r="J25" s="2" t="str">
        <f t="shared" si="2"/>
        <v>#DIV/0!</v>
      </c>
      <c r="K25" s="2" t="str">
        <f t="shared" si="3"/>
        <v>#DIV/0!</v>
      </c>
      <c r="L25" s="2" t="str">
        <f t="shared" si="4"/>
        <v>#DIV/0!</v>
      </c>
    </row>
    <row r="26" ht="14.25" customHeight="1">
      <c r="A26" s="1" t="s">
        <v>58</v>
      </c>
      <c r="B26" s="1">
        <v>42.0</v>
      </c>
      <c r="C26" t="s">
        <v>59</v>
      </c>
      <c r="D26" s="4"/>
      <c r="E26" s="4"/>
      <c r="F26" s="4"/>
      <c r="G26" s="4"/>
      <c r="H26" s="2"/>
      <c r="I26" s="5" t="str">
        <f t="shared" si="1"/>
        <v>#DIV/0!</v>
      </c>
      <c r="J26" s="2" t="str">
        <f t="shared" si="2"/>
        <v>#DIV/0!</v>
      </c>
      <c r="K26" s="2" t="str">
        <f t="shared" si="3"/>
        <v>#DIV/0!</v>
      </c>
      <c r="L26" s="2" t="str">
        <f t="shared" si="4"/>
        <v>#DIV/0!</v>
      </c>
    </row>
    <row r="27" ht="14.25" customHeight="1">
      <c r="A27" s="1" t="s">
        <v>60</v>
      </c>
      <c r="B27" s="1">
        <v>28.0</v>
      </c>
      <c r="C27" t="s">
        <v>61</v>
      </c>
      <c r="D27" s="4"/>
      <c r="E27" s="4"/>
      <c r="F27" s="4"/>
      <c r="G27" s="4"/>
      <c r="H27" s="2"/>
      <c r="I27" s="5" t="str">
        <f t="shared" si="1"/>
        <v>#DIV/0!</v>
      </c>
      <c r="J27" s="2" t="str">
        <f t="shared" si="2"/>
        <v>#DIV/0!</v>
      </c>
      <c r="K27" s="2" t="str">
        <f t="shared" si="3"/>
        <v>#DIV/0!</v>
      </c>
      <c r="L27" s="2" t="str">
        <f t="shared" si="4"/>
        <v>#DIV/0!</v>
      </c>
    </row>
    <row r="28" ht="14.25" customHeight="1">
      <c r="A28" s="1" t="s">
        <v>62</v>
      </c>
      <c r="B28" s="1">
        <v>35.0</v>
      </c>
      <c r="C28" t="s">
        <v>63</v>
      </c>
      <c r="D28" s="4"/>
      <c r="E28" s="4"/>
      <c r="F28" s="4"/>
      <c r="G28" s="4"/>
      <c r="H28" s="2"/>
      <c r="I28" s="5" t="str">
        <f t="shared" si="1"/>
        <v>#DIV/0!</v>
      </c>
      <c r="J28" s="2" t="str">
        <f t="shared" si="2"/>
        <v>#DIV/0!</v>
      </c>
      <c r="K28" s="2" t="str">
        <f t="shared" si="3"/>
        <v>#DIV/0!</v>
      </c>
      <c r="L28" s="2" t="str">
        <f t="shared" si="4"/>
        <v>#DIV/0!</v>
      </c>
      <c r="M28" t="s">
        <v>64</v>
      </c>
    </row>
    <row r="29" ht="14.25" customHeight="1">
      <c r="A29" s="1" t="s">
        <v>65</v>
      </c>
      <c r="B29" s="1">
        <v>17.0</v>
      </c>
      <c r="C29" t="s">
        <v>66</v>
      </c>
      <c r="D29" s="4"/>
      <c r="E29" s="4"/>
      <c r="F29" s="4"/>
      <c r="G29" s="4"/>
      <c r="H29" s="2"/>
      <c r="I29" s="5" t="str">
        <f t="shared" si="1"/>
        <v>#DIV/0!</v>
      </c>
      <c r="J29" s="2" t="str">
        <f t="shared" si="2"/>
        <v>#DIV/0!</v>
      </c>
      <c r="K29" s="2" t="str">
        <f t="shared" si="3"/>
        <v>#DIV/0!</v>
      </c>
      <c r="L29" s="2" t="str">
        <f t="shared" si="4"/>
        <v>#DIV/0!</v>
      </c>
      <c r="M29" s="9" t="s">
        <v>67</v>
      </c>
      <c r="N29" s="10" t="s">
        <v>68</v>
      </c>
    </row>
    <row r="30" ht="14.25" customHeight="1">
      <c r="H30" s="2" t="str">
        <f>SUM(H2:H29)</f>
        <v>  -   </v>
      </c>
      <c r="I30" s="11"/>
      <c r="J30" s="2" t="str">
        <f t="shared" ref="J30:L30" si="5">SUM(J2:J29)</f>
        <v>#DIV/0!</v>
      </c>
      <c r="K30" s="2" t="str">
        <f t="shared" si="5"/>
        <v>#DIV/0!</v>
      </c>
      <c r="L30" s="2" t="str">
        <f t="shared" si="5"/>
        <v>#DIV/0!</v>
      </c>
      <c r="M30" s="12" t="str">
        <f>J30/L30</f>
        <v>#DIV/0!</v>
      </c>
      <c r="N30" s="13" t="str">
        <f>K30/L30</f>
        <v>#DIV/0!</v>
      </c>
    </row>
    <row r="31" ht="14.25" customHeight="1">
      <c r="H31" s="2"/>
      <c r="I31" s="11"/>
    </row>
    <row r="32" ht="14.25" customHeight="1">
      <c r="H32" s="2"/>
      <c r="I32" s="11"/>
    </row>
    <row r="33" ht="14.25" customHeight="1">
      <c r="H33" s="2"/>
      <c r="I33" s="11"/>
    </row>
    <row r="34" ht="14.25" customHeight="1">
      <c r="H34" s="2"/>
      <c r="I34" s="11"/>
    </row>
    <row r="35" ht="14.25" customHeight="1">
      <c r="H35" s="2"/>
      <c r="I35" s="11"/>
    </row>
    <row r="36" ht="14.25" customHeight="1">
      <c r="H36" s="2"/>
      <c r="I36" s="11"/>
    </row>
    <row r="37" ht="14.25" customHeight="1">
      <c r="H37" s="2"/>
      <c r="I37" s="11"/>
    </row>
    <row r="38" ht="14.25" customHeight="1">
      <c r="H38" s="2"/>
      <c r="I38" s="11"/>
    </row>
    <row r="39" ht="14.25" customHeight="1">
      <c r="H39" s="2"/>
      <c r="I39" s="11"/>
    </row>
    <row r="40" ht="14.25" customHeight="1">
      <c r="H40" s="2"/>
      <c r="I40" s="11"/>
    </row>
    <row r="41" ht="14.25" customHeight="1">
      <c r="H41" s="2"/>
      <c r="I41" s="11"/>
    </row>
    <row r="42" ht="14.25" customHeight="1">
      <c r="H42" s="2"/>
      <c r="I42" s="11"/>
    </row>
    <row r="43" ht="14.25" customHeight="1">
      <c r="H43" s="2"/>
      <c r="I43" s="11"/>
    </row>
    <row r="44" ht="14.25" customHeight="1">
      <c r="H44" s="2"/>
      <c r="I44" s="11"/>
    </row>
    <row r="45" ht="14.25" customHeight="1">
      <c r="H45" s="2"/>
      <c r="I45" s="11"/>
    </row>
    <row r="46" ht="14.25" customHeight="1">
      <c r="H46" s="2"/>
      <c r="I46" s="11"/>
    </row>
    <row r="47" ht="14.25" customHeight="1">
      <c r="H47" s="2"/>
      <c r="I47" s="11"/>
    </row>
    <row r="48" ht="14.25" customHeight="1">
      <c r="H48" s="2"/>
      <c r="I48" s="11"/>
    </row>
    <row r="49" ht="14.25" customHeight="1">
      <c r="H49" s="2"/>
      <c r="I49" s="11"/>
    </row>
    <row r="50" ht="14.25" customHeight="1">
      <c r="H50" s="2"/>
      <c r="I50" s="11"/>
    </row>
    <row r="51" ht="14.25" customHeight="1">
      <c r="H51" s="2"/>
      <c r="I51" s="11"/>
    </row>
    <row r="52" ht="14.25" customHeight="1">
      <c r="H52" s="2"/>
      <c r="I52" s="11"/>
    </row>
    <row r="53" ht="14.25" customHeight="1">
      <c r="H53" s="2"/>
      <c r="I53" s="11"/>
    </row>
    <row r="54" ht="14.25" customHeight="1">
      <c r="H54" s="2"/>
      <c r="I54" s="11"/>
    </row>
    <row r="55" ht="14.25" customHeight="1">
      <c r="H55" s="2"/>
      <c r="I55" s="11"/>
    </row>
    <row r="56" ht="14.25" customHeight="1">
      <c r="H56" s="2"/>
      <c r="I56" s="11"/>
    </row>
    <row r="57" ht="14.25" customHeight="1">
      <c r="H57" s="2"/>
      <c r="I57" s="11"/>
    </row>
    <row r="58" ht="14.25" customHeight="1">
      <c r="H58" s="2"/>
      <c r="I58" s="11"/>
    </row>
    <row r="59" ht="14.25" customHeight="1">
      <c r="H59" s="2"/>
      <c r="I59" s="11"/>
    </row>
    <row r="60" ht="14.25" customHeight="1">
      <c r="H60" s="2"/>
      <c r="I60" s="11"/>
    </row>
    <row r="61" ht="14.25" customHeight="1">
      <c r="H61" s="2"/>
      <c r="I61" s="11"/>
    </row>
    <row r="62" ht="14.25" customHeight="1">
      <c r="H62" s="2"/>
      <c r="I62" s="11"/>
    </row>
    <row r="63" ht="14.25" customHeight="1">
      <c r="H63" s="2"/>
      <c r="I63" s="11"/>
    </row>
    <row r="64" ht="14.25" customHeight="1">
      <c r="H64" s="2"/>
      <c r="I64" s="11"/>
    </row>
    <row r="65" ht="14.25" customHeight="1">
      <c r="H65" s="2"/>
      <c r="I65" s="11"/>
    </row>
    <row r="66" ht="14.25" customHeight="1">
      <c r="H66" s="2"/>
      <c r="I66" s="11"/>
    </row>
    <row r="67" ht="14.25" customHeight="1">
      <c r="H67" s="2"/>
      <c r="I67" s="11"/>
    </row>
    <row r="68" ht="14.25" customHeight="1">
      <c r="H68" s="2"/>
      <c r="I68" s="11"/>
    </row>
    <row r="69" ht="14.25" customHeight="1">
      <c r="H69" s="2"/>
      <c r="I69" s="11"/>
    </row>
    <row r="70" ht="14.25" customHeight="1">
      <c r="H70" s="2"/>
      <c r="I70" s="11"/>
    </row>
    <row r="71" ht="14.25" customHeight="1">
      <c r="H71" s="2"/>
      <c r="I71" s="11"/>
    </row>
    <row r="72" ht="14.25" customHeight="1">
      <c r="H72" s="2"/>
      <c r="I72" s="11"/>
    </row>
    <row r="73" ht="14.25" customHeight="1">
      <c r="H73" s="2"/>
      <c r="I73" s="11"/>
    </row>
    <row r="74" ht="14.25" customHeight="1">
      <c r="H74" s="2"/>
      <c r="I74" s="11"/>
    </row>
    <row r="75" ht="14.25" customHeight="1">
      <c r="H75" s="2"/>
      <c r="I75" s="11"/>
    </row>
    <row r="76" ht="14.25" customHeight="1">
      <c r="H76" s="2"/>
      <c r="I76" s="11"/>
    </row>
    <row r="77" ht="14.25" customHeight="1">
      <c r="H77" s="2"/>
      <c r="I77" s="11"/>
    </row>
    <row r="78" ht="14.25" customHeight="1">
      <c r="H78" s="2"/>
      <c r="I78" s="11"/>
    </row>
    <row r="79" ht="14.25" customHeight="1">
      <c r="H79" s="2"/>
      <c r="I79" s="11"/>
    </row>
    <row r="80" ht="14.25" customHeight="1">
      <c r="H80" s="2"/>
      <c r="I80" s="11"/>
    </row>
    <row r="81" ht="14.25" customHeight="1">
      <c r="H81" s="2"/>
      <c r="I81" s="11"/>
    </row>
    <row r="82" ht="14.25" customHeight="1">
      <c r="H82" s="2"/>
      <c r="I82" s="11"/>
    </row>
    <row r="83" ht="14.25" customHeight="1">
      <c r="H83" s="2"/>
      <c r="I83" s="11"/>
    </row>
    <row r="84" ht="14.25" customHeight="1">
      <c r="H84" s="2"/>
      <c r="I84" s="11"/>
    </row>
    <row r="85" ht="14.25" customHeight="1">
      <c r="H85" s="2"/>
      <c r="I85" s="11"/>
    </row>
    <row r="86" ht="14.25" customHeight="1">
      <c r="H86" s="2"/>
      <c r="I86" s="11"/>
    </row>
    <row r="87" ht="14.25" customHeight="1">
      <c r="H87" s="2"/>
      <c r="I87" s="11"/>
    </row>
    <row r="88" ht="14.25" customHeight="1">
      <c r="H88" s="2"/>
      <c r="I88" s="11"/>
    </row>
    <row r="89" ht="14.25" customHeight="1">
      <c r="H89" s="2"/>
      <c r="I89" s="11"/>
    </row>
    <row r="90" ht="14.25" customHeight="1">
      <c r="H90" s="2"/>
      <c r="I90" s="11"/>
    </row>
    <row r="91" ht="14.25" customHeight="1">
      <c r="H91" s="2"/>
      <c r="I91" s="11"/>
    </row>
    <row r="92" ht="14.25" customHeight="1">
      <c r="H92" s="2"/>
      <c r="I92" s="11"/>
    </row>
    <row r="93" ht="14.25" customHeight="1">
      <c r="H93" s="2"/>
      <c r="I93" s="11"/>
    </row>
    <row r="94" ht="14.25" customHeight="1">
      <c r="H94" s="2"/>
      <c r="I94" s="11"/>
    </row>
    <row r="95" ht="14.25" customHeight="1">
      <c r="H95" s="2"/>
      <c r="I95" s="11"/>
    </row>
    <row r="96" ht="14.25" customHeight="1">
      <c r="H96" s="2"/>
      <c r="I96" s="11"/>
    </row>
    <row r="97" ht="14.25" customHeight="1">
      <c r="H97" s="2"/>
      <c r="I97" s="11"/>
    </row>
    <row r="98" ht="14.25" customHeight="1">
      <c r="H98" s="2"/>
      <c r="I98" s="11"/>
    </row>
    <row r="99" ht="14.25" customHeight="1">
      <c r="H99" s="2"/>
      <c r="I99" s="11"/>
    </row>
    <row r="100" ht="14.25" customHeight="1">
      <c r="H100" s="2"/>
      <c r="I100" s="11"/>
    </row>
  </sheetData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2026-10-04T20:29:53Z</dcterms:created>
  <dc:creator>Ernesto Pereira Galindo</dc:creator>
  <cp:lastModifiedBy>Ernesto Pereira Galindo</cp:lastModifiedBy>
  <dcterms:modified xsi:type="dcterms:W3CDTF">2026-10-25T15:18:30Z</dcterms:modified>
</cp:coreProperties>
</file>